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资组合概览" sheetId="1" state="visible" r:id="rId1"/>
    <sheet xmlns:r="http://schemas.openxmlformats.org/officeDocument/2006/relationships" name="黄金持仓" sheetId="2" state="visible" r:id="rId2"/>
    <sheet xmlns:r="http://schemas.openxmlformats.org/officeDocument/2006/relationships" name="基金持仓" sheetId="3" state="visible" r:id="rId3"/>
    <sheet xmlns:r="http://schemas.openxmlformats.org/officeDocument/2006/relationships" name="黄金价格" sheetId="4" state="visible" r:id="rId4"/>
    <sheet xmlns:r="http://schemas.openxmlformats.org/officeDocument/2006/relationships" name="交易记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¥#,##0.00"/>
    <numFmt numFmtId="166" formatCode="¥#,##0.00;[Red]-¥#,##0.00"/>
    <numFmt numFmtId="167" formatCode="0.00%;[Red]-0.00%"/>
    <numFmt numFmtId="168" formatCode="0.0%"/>
    <numFmt numFmtId="169" formatCode="0.0000"/>
  </numFmts>
  <fonts count="7">
    <font>
      <name val="Calibri"/>
      <family val="2"/>
      <color theme="1"/>
      <sz val="11"/>
      <scheme val="minor"/>
    </font>
    <font>
      <b val="1"/>
      <color rgb="000F172A"/>
      <sz val="14"/>
    </font>
    <font>
      <b val="1"/>
    </font>
    <font>
      <b val="1"/>
      <color rgb="0064748B"/>
    </font>
    <font>
      <b val="1"/>
      <color rgb="0092400E"/>
    </font>
    <font>
      <b val="1"/>
      <color rgb="00334155"/>
      <sz val="11"/>
    </font>
    <font>
      <b val="1"/>
      <color rgb="00F1F5F9"/>
      <sz val="11"/>
    </font>
  </fonts>
  <fills count="8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164" fontId="0" fillId="0" borderId="0" pivotButton="0" quotePrefix="0" xfId="0"/>
    <xf numFmtId="0" fontId="3" fillId="2" borderId="0" pivotButton="0" quotePrefix="0" xfId="0"/>
    <xf numFmtId="165" fontId="4" fillId="3" borderId="0" applyAlignment="1" pivotButton="0" quotePrefix="0" xfId="0">
      <alignment horizontal="right" vertical="center"/>
    </xf>
    <xf numFmtId="166" fontId="4" fillId="3" borderId="0" applyAlignment="1" pivotButton="0" quotePrefix="0" xfId="0">
      <alignment horizontal="right" vertical="center"/>
    </xf>
    <xf numFmtId="167" fontId="4" fillId="3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0" fillId="5" borderId="1" pivotButton="0" quotePrefix="0" xfId="0"/>
    <xf numFmtId="165" fontId="0" fillId="5" borderId="1" pivotButton="0" quotePrefix="0" xfId="0"/>
    <xf numFmtId="168" fontId="0" fillId="5" borderId="1" pivotButton="0" quotePrefix="0" xfId="0"/>
    <xf numFmtId="166" fontId="0" fillId="5" borderId="1" pivotButton="0" quotePrefix="0" xfId="0"/>
    <xf numFmtId="167" fontId="0" fillId="5" borderId="1" pivotButton="0" quotePrefix="0" xfId="0"/>
    <xf numFmtId="0" fontId="0" fillId="6" borderId="1" pivotButton="0" quotePrefix="0" xfId="0"/>
    <xf numFmtId="165" fontId="0" fillId="6" borderId="1" pivotButton="0" quotePrefix="0" xfId="0"/>
    <xf numFmtId="168" fontId="0" fillId="6" borderId="1" pivotButton="0" quotePrefix="0" xfId="0"/>
    <xf numFmtId="166" fontId="0" fillId="6" borderId="1" pivotButton="0" quotePrefix="0" xfId="0"/>
    <xf numFmtId="167" fontId="0" fillId="6" borderId="1" pivotButton="0" quotePrefix="0" xfId="0"/>
    <xf numFmtId="0" fontId="1" fillId="0" borderId="0" pivotButton="0" quotePrefix="0" xfId="0"/>
    <xf numFmtId="169" fontId="0" fillId="5" borderId="1" pivotButton="0" quotePrefix="0" xfId="0"/>
    <xf numFmtId="169" fontId="0" fillId="6" borderId="1" pivotButton="0" quotePrefix="0" xfId="0"/>
    <xf numFmtId="0" fontId="2" fillId="3" borderId="1" pivotButton="0" quotePrefix="0" xfId="0"/>
    <xf numFmtId="169" fontId="2" fillId="3" borderId="1" pivotButton="0" quotePrefix="0" xfId="0"/>
    <xf numFmtId="165" fontId="2" fillId="3" borderId="1" pivotButton="0" quotePrefix="0" xfId="0"/>
    <xf numFmtId="166" fontId="2" fillId="3" borderId="1" pivotButton="0" quotePrefix="0" xfId="0"/>
    <xf numFmtId="167" fontId="2" fillId="3" borderId="1" pivotButton="0" quotePrefix="0" xfId="0"/>
    <xf numFmtId="169" fontId="0" fillId="0" borderId="0" pivotButton="0" quotePrefix="0" xfId="0"/>
    <xf numFmtId="0" fontId="2" fillId="7" borderId="1" pivotButton="0" quotePrefix="0" xfId="0"/>
    <xf numFmtId="165" fontId="2" fillId="7" borderId="1" pivotButton="0" quotePrefix="0" xfId="0"/>
    <xf numFmtId="166" fontId="2" fillId="7" borderId="1" pivotButton="0" quotePrefix="0" xfId="0"/>
    <xf numFmtId="167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📊 投资组合总览</t>
        </is>
      </c>
    </row>
    <row r="3">
      <c r="A3" s="2" t="inlineStr">
        <is>
          <t>更新日期</t>
        </is>
      </c>
      <c r="B3" s="3">
        <f>TODAY()</f>
        <v/>
      </c>
    </row>
    <row r="5">
      <c r="A5" s="4" t="inlineStr">
        <is>
          <t>总资产</t>
        </is>
      </c>
      <c r="B5" s="5">
        <f>SUM(黄金持仓!E2:E3)+SUM(基金持仓!D2:D6)</f>
        <v/>
      </c>
      <c r="C5" s="4" t="inlineStr">
        <is>
          <t>总投入</t>
        </is>
      </c>
      <c r="D5" s="5">
        <f>SUM(黄金持仓!F2:F3)+SUM(基金持仓!E2:E6)</f>
        <v/>
      </c>
      <c r="E5" s="4" t="inlineStr">
        <is>
          <t>总盈亏</t>
        </is>
      </c>
      <c r="F5" s="6">
        <f>B5-D5</f>
        <v/>
      </c>
      <c r="G5" s="4" t="inlineStr">
        <is>
          <t>总收益率</t>
        </is>
      </c>
      <c r="H5" s="7">
        <f>F5/D5</f>
        <v/>
      </c>
    </row>
    <row r="7">
      <c r="A7" s="8" t="inlineStr">
        <is>
          <t>资产分布</t>
        </is>
      </c>
    </row>
    <row r="8">
      <c r="A8" s="9" t="inlineStr">
        <is>
          <t>资产类别</t>
        </is>
      </c>
      <c r="B8" s="9" t="inlineStr">
        <is>
          <t>市值</t>
        </is>
      </c>
      <c r="C8" s="9" t="inlineStr">
        <is>
          <t>占比</t>
        </is>
      </c>
      <c r="D8" s="9" t="inlineStr">
        <is>
          <t>盈亏</t>
        </is>
      </c>
      <c r="E8" s="9" t="inlineStr">
        <is>
          <t>收益率</t>
        </is>
      </c>
      <c r="F8" s="9" t="inlineStr">
        <is>
          <t>操作建议</t>
        </is>
      </c>
    </row>
    <row r="9">
      <c r="A9" s="10" t="inlineStr">
        <is>
          <t>黄金</t>
        </is>
      </c>
      <c r="B9" s="11">
        <f>SUM(黄金持仓!E2:E3)</f>
        <v/>
      </c>
      <c r="C9" s="12">
        <f>B9/$B$5</f>
        <v/>
      </c>
      <c r="D9" s="13">
        <f>SUM(黄金持仓!G2:G3)</f>
        <v/>
      </c>
      <c r="E9" s="14">
        <f>D9/SUM(黄金持仓!F2:F3)</f>
        <v/>
      </c>
      <c r="F9" s="10" t="inlineStr">
        <is>
          <t>波段操作</t>
        </is>
      </c>
    </row>
    <row r="10">
      <c r="A10" s="15" t="inlineStr">
        <is>
          <t>偏股基金</t>
        </is>
      </c>
      <c r="B10" s="16">
        <f>SUMIF(基金持仓!C:C,"偏股",基金持仓!D:D)+SUMIF(基金持仓!C:C,"指数",基金持仓!D:D)</f>
        <v/>
      </c>
      <c r="C10" s="17">
        <f>B10/$B$5</f>
        <v/>
      </c>
      <c r="D10" s="18">
        <f>SUMIF(基金持仓!C:C,"偏股",基金持仓!F:F)+SUMIF(基金持仓!C:C,"指数",基金持仓!F:F)</f>
        <v/>
      </c>
      <c r="E10" s="19">
        <f>D10/(SUMIF(基金持仓!C:C,"偏股",基金持仓!E:E)+SUMIF(基金持仓!C:C,"指数",基金持仓!E:E))</f>
        <v/>
      </c>
      <c r="F10" s="15" t="inlineStr">
        <is>
          <t>逢高减仓</t>
        </is>
      </c>
    </row>
    <row r="11">
      <c r="A11" s="10" t="inlineStr">
        <is>
          <t>海外指数</t>
        </is>
      </c>
      <c r="B11" s="11">
        <f>SUMIF(基金持仓!C:C,"海外",基金持仓!D:D)</f>
        <v/>
      </c>
      <c r="C11" s="12">
        <f>B11/$B$5</f>
        <v/>
      </c>
      <c r="D11" s="13">
        <f>SUMIF(基金持仓!C:C,"海外",基金持仓!F:F)</f>
        <v/>
      </c>
      <c r="E11" s="14">
        <f>D11/SUMIF(基金持仓!C:C,"海外",基金持仓!E:E)</f>
        <v/>
      </c>
      <c r="F11" s="10" t="inlineStr">
        <is>
          <t>继续定投</t>
        </is>
      </c>
    </row>
    <row r="12">
      <c r="A12" s="15" t="inlineStr">
        <is>
          <t>资源/周期</t>
        </is>
      </c>
      <c r="B12" s="16">
        <f>SUMIF(基金持仓!C:C,"周期",基金持仓!D:D)</f>
        <v/>
      </c>
      <c r="C12" s="17">
        <f>B12/$B$5</f>
        <v/>
      </c>
      <c r="D12" s="18">
        <f>SUMIF(基金持仓!C:C,"周期",基金持仓!F:F)</f>
        <v/>
      </c>
      <c r="E12" s="19">
        <f>D12/SUMIF(基金持仓!C:C,"周期",基金持仓!E:E)</f>
        <v/>
      </c>
      <c r="F12" s="15" t="inlineStr">
        <is>
          <t>持有观察</t>
        </is>
      </c>
    </row>
  </sheetData>
  <mergeCells count="1">
    <mergeCell ref="A1: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20" t="inlineStr">
        <is>
          <t>🥇 黄金持仓明细</t>
        </is>
      </c>
    </row>
    <row r="2">
      <c r="A2" s="9" t="inlineStr">
        <is>
          <t>账户</t>
        </is>
      </c>
      <c r="B2" s="9" t="inlineStr">
        <is>
          <t>持有克数</t>
        </is>
      </c>
      <c r="C2" s="9" t="inlineStr">
        <is>
          <t>成本均价(元/克)</t>
        </is>
      </c>
      <c r="D2" s="9" t="inlineStr">
        <is>
          <t>当前金价(元/克)</t>
        </is>
      </c>
      <c r="E2" s="9" t="inlineStr">
        <is>
          <t>当前市值</t>
        </is>
      </c>
      <c r="F2" s="9" t="inlineStr">
        <is>
          <t>成本总额</t>
        </is>
      </c>
      <c r="G2" s="9" t="inlineStr">
        <is>
          <t>持有收益</t>
        </is>
      </c>
      <c r="H2" s="9" t="inlineStr">
        <is>
          <t>收益率</t>
        </is>
      </c>
    </row>
    <row r="3">
      <c r="A3" s="10" t="inlineStr">
        <is>
          <t>支付宝黄金</t>
        </is>
      </c>
      <c r="B3" s="21" t="n">
        <v>74.3126</v>
      </c>
      <c r="C3" s="11" t="n">
        <v>1162</v>
      </c>
      <c r="D3" s="11">
        <f>黄金价格!B2</f>
        <v/>
      </c>
      <c r="E3" s="11">
        <f>B3*D3</f>
        <v/>
      </c>
      <c r="F3" s="11">
        <f>B3*C3</f>
        <v/>
      </c>
      <c r="G3" s="13">
        <f>E3-F3</f>
        <v/>
      </c>
      <c r="H3" s="14">
        <f>G3/F3</f>
        <v/>
      </c>
    </row>
    <row r="4">
      <c r="A4" s="15" t="inlineStr">
        <is>
          <t>京东金融黄金</t>
        </is>
      </c>
      <c r="B4" s="22" t="n">
        <v>31.5408</v>
      </c>
      <c r="C4" s="16" t="n">
        <v>973.4</v>
      </c>
      <c r="D4" s="16">
        <f>黄金价格!B2</f>
        <v/>
      </c>
      <c r="E4" s="16">
        <f>B4*D4</f>
        <v/>
      </c>
      <c r="F4" s="16">
        <f>B4*C4</f>
        <v/>
      </c>
      <c r="G4" s="18">
        <f>E4-F4</f>
        <v/>
      </c>
      <c r="H4" s="19">
        <f>G4/F4</f>
        <v/>
      </c>
    </row>
    <row r="5">
      <c r="A5" s="23" t="inlineStr">
        <is>
          <t>合计</t>
        </is>
      </c>
      <c r="B5" s="24">
        <f>SUM(B3:B4)</f>
        <v/>
      </c>
      <c r="C5" s="23" t="n"/>
      <c r="D5" s="23" t="n"/>
      <c r="E5" s="25">
        <f>SUM(E3:E4)</f>
        <v/>
      </c>
      <c r="F5" s="25">
        <f>SUM(F3:F4)</f>
        <v/>
      </c>
      <c r="G5" s="26">
        <f>SUM(G3:G4)</f>
        <v/>
      </c>
      <c r="H5" s="27">
        <f>G5/F5</f>
        <v/>
      </c>
    </row>
    <row r="7">
      <c r="A7" s="8" t="inlineStr">
        <is>
          <t>📈 京东波段账户交易计划</t>
        </is>
      </c>
    </row>
    <row r="8">
      <c r="A8" s="4" t="inlineStr">
        <is>
          <t>策略类型</t>
        </is>
      </c>
      <c r="B8" t="inlineStr">
        <is>
          <t>网格波段交易</t>
        </is>
      </c>
    </row>
    <row r="9">
      <c r="A9" s="4" t="inlineStr">
        <is>
          <t>网格区间</t>
        </is>
      </c>
      <c r="B9" t="inlineStr">
        <is>
          <t>850 - 950 元/克</t>
        </is>
      </c>
    </row>
    <row r="10">
      <c r="A10" s="4" t="inlineStr">
        <is>
          <t>网格间距</t>
        </is>
      </c>
      <c r="B10" t="inlineStr">
        <is>
          <t>20 元/克</t>
        </is>
      </c>
    </row>
    <row r="11">
      <c r="A11" s="4" t="inlineStr">
        <is>
          <t>每格交易量</t>
        </is>
      </c>
      <c r="B11" t="inlineStr">
        <is>
          <t>5 克</t>
        </is>
      </c>
    </row>
    <row r="12">
      <c r="A12" s="4" t="inlineStr">
        <is>
          <t>当前持仓</t>
        </is>
      </c>
      <c r="B12" s="28">
        <f>B4</f>
        <v/>
      </c>
    </row>
    <row r="13">
      <c r="A13" s="4" t="inlineStr">
        <is>
          <t>当前信号</t>
        </is>
      </c>
      <c r="B13">
        <f>IF(D2&lt;=870,"🟢 接近下沿，可小仓买入",IF(D2&gt;=930,"🔴 接近上沿，可减仓卖出","🟡 震荡区间，持有观察"))</f>
        <v/>
      </c>
    </row>
  </sheetData>
  <mergeCells count="1"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16" customWidth="1" min="8" max="8"/>
  </cols>
  <sheetData>
    <row r="1">
      <c r="A1" s="20" t="inlineStr">
        <is>
          <t>📈 基金持仓明细</t>
        </is>
      </c>
    </row>
    <row r="2">
      <c r="A2" s="9" t="inlineStr">
        <is>
          <t>基金名称</t>
        </is>
      </c>
      <c r="B2" s="9" t="inlineStr">
        <is>
          <t>代码</t>
        </is>
      </c>
      <c r="C2" s="9" t="inlineStr">
        <is>
          <t>类别</t>
        </is>
      </c>
      <c r="D2" s="9" t="inlineStr">
        <is>
          <t>当前市值</t>
        </is>
      </c>
      <c r="E2" s="9" t="inlineStr">
        <is>
          <t>成本总额</t>
        </is>
      </c>
      <c r="F2" s="9" t="inlineStr">
        <is>
          <t>持有收益</t>
        </is>
      </c>
      <c r="G2" s="9" t="inlineStr">
        <is>
          <t>收益率</t>
        </is>
      </c>
      <c r="H2" s="9" t="inlineStr">
        <is>
          <t>操作建议</t>
        </is>
      </c>
    </row>
    <row r="3">
      <c r="A3" s="10" t="inlineStr">
        <is>
          <t>中航机遇领航混合C</t>
        </is>
      </c>
      <c r="B3" s="10" t="inlineStr">
        <is>
          <t>018957</t>
        </is>
      </c>
      <c r="C3" s="10" t="inlineStr">
        <is>
          <t>偏股</t>
        </is>
      </c>
      <c r="D3" s="11" t="n">
        <v>7128.78</v>
      </c>
      <c r="E3" s="11" t="n">
        <v>9554.98</v>
      </c>
      <c r="F3" s="13">
        <f>D3-E3</f>
        <v/>
      </c>
      <c r="G3" s="14">
        <f>F3/E3</f>
        <v/>
      </c>
      <c r="H3" s="10" t="inlineStr">
        <is>
          <t>逢高减仓60%</t>
        </is>
      </c>
    </row>
    <row r="4">
      <c r="A4" s="15" t="inlineStr">
        <is>
          <t>永赢先锋半导体智选混合C</t>
        </is>
      </c>
      <c r="B4" s="15" t="inlineStr">
        <is>
          <t>025209</t>
        </is>
      </c>
      <c r="C4" s="15" t="inlineStr">
        <is>
          <t>偏股</t>
        </is>
      </c>
      <c r="D4" s="16" t="n">
        <v>3300.59</v>
      </c>
      <c r="E4" s="16" t="n">
        <v>4582.08</v>
      </c>
      <c r="F4" s="18">
        <f>D4-E4</f>
        <v/>
      </c>
      <c r="G4" s="19">
        <f>F4/E4</f>
        <v/>
      </c>
      <c r="H4" s="15" t="inlineStr">
        <is>
          <t>逢高减仓70%</t>
        </is>
      </c>
    </row>
    <row r="5">
      <c r="A5" s="10" t="inlineStr">
        <is>
          <t>东财中证通信技术主题指数C</t>
        </is>
      </c>
      <c r="B5" s="10" t="inlineStr">
        <is>
          <t>008327</t>
        </is>
      </c>
      <c r="C5" s="10" t="inlineStr">
        <is>
          <t>指数</t>
        </is>
      </c>
      <c r="D5" s="11" t="n">
        <v>1218.19</v>
      </c>
      <c r="E5" s="11" t="n">
        <v>1676.35</v>
      </c>
      <c r="F5" s="13">
        <f>D5-E5</f>
        <v/>
      </c>
      <c r="G5" s="14">
        <f>F5/E5</f>
        <v/>
      </c>
      <c r="H5" s="10" t="inlineStr">
        <is>
          <t>反弹清仓</t>
        </is>
      </c>
    </row>
    <row r="6">
      <c r="A6" s="15" t="inlineStr">
        <is>
          <t>中欧资源精选混合C</t>
        </is>
      </c>
      <c r="B6" s="15" t="inlineStr">
        <is>
          <t>023037</t>
        </is>
      </c>
      <c r="C6" s="15" t="inlineStr">
        <is>
          <t>周期</t>
        </is>
      </c>
      <c r="D6" s="16" t="n">
        <v>3622.49</v>
      </c>
      <c r="E6" s="16" t="n">
        <v>3981.14</v>
      </c>
      <c r="F6" s="18">
        <f>D6-E6</f>
        <v/>
      </c>
      <c r="G6" s="19">
        <f>F6/E6</f>
        <v/>
      </c>
      <c r="H6" s="15" t="inlineStr">
        <is>
          <t>持有观察</t>
        </is>
      </c>
    </row>
    <row r="7">
      <c r="A7" s="10" t="inlineStr">
        <is>
          <t>广发纳斯达克100ETF联接C</t>
        </is>
      </c>
      <c r="B7" s="10" t="inlineStr">
        <is>
          <t>006479</t>
        </is>
      </c>
      <c r="C7" s="10" t="inlineStr">
        <is>
          <t>海外</t>
        </is>
      </c>
      <c r="D7" s="11" t="n">
        <v>12421.46</v>
      </c>
      <c r="E7" s="11" t="n">
        <v>10190</v>
      </c>
      <c r="F7" s="13">
        <f>D7-E7</f>
        <v/>
      </c>
      <c r="G7" s="14">
        <f>F7/E7</f>
        <v/>
      </c>
      <c r="H7" s="10" t="inlineStr">
        <is>
          <t>继续定投</t>
        </is>
      </c>
    </row>
    <row r="8">
      <c r="A8" s="29" t="inlineStr">
        <is>
          <t>合计</t>
        </is>
      </c>
      <c r="B8" s="29" t="n"/>
      <c r="C8" s="29" t="n"/>
      <c r="D8" s="30">
        <f>SUM(D3:D7)</f>
        <v/>
      </c>
      <c r="E8" s="30">
        <f>SUM(E3:E7)</f>
        <v/>
      </c>
      <c r="F8" s="31">
        <f>SUM(F3:F7)</f>
        <v/>
      </c>
      <c r="G8" s="32">
        <f>F8/E8</f>
        <v/>
      </c>
      <c r="H8" s="29" t="n"/>
    </row>
  </sheetData>
  <mergeCells count="1"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</cols>
  <sheetData>
    <row r="1">
      <c r="A1" s="9" t="inlineStr">
        <is>
          <t>日期</t>
        </is>
      </c>
      <c r="B1" s="9" t="inlineStr">
        <is>
          <t>上海金收盘价(元/克)</t>
        </is>
      </c>
      <c r="C1" s="9" t="inlineStr">
        <is>
          <t>伦敦金(美元/盎司)</t>
        </is>
      </c>
    </row>
    <row r="2">
      <c r="A2" s="3">
        <f>TODAY()</f>
        <v/>
      </c>
      <c r="B2" t="n">
        <v>886</v>
      </c>
      <c r="C2" t="n">
        <v>4052.6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20" customWidth="1" min="8" max="8"/>
  </cols>
  <sheetData>
    <row r="1">
      <c r="A1" s="9" t="inlineStr">
        <is>
          <t>日期</t>
        </is>
      </c>
      <c r="B1" s="9" t="inlineStr">
        <is>
          <t>品种</t>
        </is>
      </c>
      <c r="C1" s="9" t="inlineStr">
        <is>
          <t>操作</t>
        </is>
      </c>
      <c r="D1" s="9" t="inlineStr">
        <is>
          <t>数量</t>
        </is>
      </c>
      <c r="E1" s="9" t="inlineStr">
        <is>
          <t>价格</t>
        </is>
      </c>
      <c r="F1" s="9" t="inlineStr">
        <is>
          <t>金额</t>
        </is>
      </c>
      <c r="G1" s="9" t="inlineStr">
        <is>
          <t>盈亏</t>
        </is>
      </c>
      <c r="H1" s="9" t="inlineStr">
        <is>
          <t>备注</t>
        </is>
      </c>
    </row>
    <row r="2">
      <c r="A2" t="inlineStr">
        <is>
          <t>暂无交易记录</t>
        </is>
      </c>
    </row>
  </sheetData>
  <mergeCells count="1">
    <mergeCell ref="A2:H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2026-07-26T10:06:26Z</dcterms:created>
  <dcterms:modified xmlns:dcterms="http://purl.org/dc/terms/" xmlns:xsi="http://www.w3.org/2001/XMLSchema-instance" xsi:type="dcterms:W3CDTF">2026-07-26T10:06:26Z</dcterms:modified>
</cp:coreProperties>
</file>